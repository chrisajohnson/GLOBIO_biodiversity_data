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johnsonc_pbl_nl/Documents/Documents/GLOBIO biodiversity data/"/>
    </mc:Choice>
  </mc:AlternateContent>
  <xr:revisionPtr revIDLastSave="121" documentId="8_{84548B87-BBBE-447B-B1E9-8D6062FC6531}" xr6:coauthVersionLast="47" xr6:coauthVersionMax="47" xr10:uidLastSave="{C04DDC42-FD45-4701-99B7-6ED81EBD8E96}"/>
  <bookViews>
    <workbookView xWindow="28680" yWindow="-120" windowWidth="29040" windowHeight="15720" xr2:uid="{37432F32-D47B-44E2-8C82-B935CA138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4" i="1"/>
  <c r="C13" i="1"/>
  <c r="E4" i="1"/>
  <c r="F4" i="1"/>
  <c r="F11" i="1"/>
  <c r="E11" i="1"/>
  <c r="F8" i="1"/>
  <c r="E8" i="1"/>
  <c r="F5" i="1"/>
  <c r="E5" i="1"/>
</calcChain>
</file>

<file path=xl/sharedStrings.xml><?xml version="1.0" encoding="utf-8"?>
<sst xmlns="http://schemas.openxmlformats.org/spreadsheetml/2006/main" count="45" uniqueCount="25">
  <si>
    <t>Pressure</t>
  </si>
  <si>
    <t>Climate change</t>
  </si>
  <si>
    <t>Birds/Mammals</t>
  </si>
  <si>
    <t>Plants</t>
  </si>
  <si>
    <t>Land use - intensive cropland</t>
  </si>
  <si>
    <t>Land use - urban</t>
  </si>
  <si>
    <t>Land use - light cropland</t>
  </si>
  <si>
    <t>Land use - Intensive pasture</t>
  </si>
  <si>
    <t>Land use - Rangelands</t>
  </si>
  <si>
    <t>Land use - Forestry</t>
  </si>
  <si>
    <t>Land use - Secondary vegetation</t>
  </si>
  <si>
    <t>Ref</t>
  </si>
  <si>
    <t>Kok et al. 2022</t>
  </si>
  <si>
    <t>Schipper et al. 2020</t>
  </si>
  <si>
    <t>Land use - cropland</t>
  </si>
  <si>
    <t>Land use - pasture</t>
  </si>
  <si>
    <t>Schipper et al. 2025</t>
  </si>
  <si>
    <t>Notes</t>
  </si>
  <si>
    <t>Only reporting slopes</t>
  </si>
  <si>
    <t>Nitrogen deposition</t>
  </si>
  <si>
    <t>Hunting</t>
  </si>
  <si>
    <t>Habitat disturbance (roads, mines)</t>
  </si>
  <si>
    <t>Habitat fragmentation</t>
  </si>
  <si>
    <t>-</t>
  </si>
  <si>
    <t>Impact (slope)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</si>
</sst>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2F46-9383-48FB-88E4-7A45070772E4}">
  <dimension ref="A1:H16"/>
  <sheetViews>
    <sheetView tabSelected="1" zoomScale="130" zoomScaleNormal="130" workbookViewId="0">
      <selection activeCell="H11" sqref="H11"/>
    </sheetView>
  </sheetViews>
  <sheetFormatPr defaultRowHeight="15" x14ac:dyDescent="0.25"/>
  <cols>
    <col min="1" max="1" width="29.7109375" bestFit="1" customWidth="1"/>
    <col min="2" max="2" width="15.28515625" bestFit="1" customWidth="1"/>
    <col min="4" max="4" width="18.140625" bestFit="1" customWidth="1"/>
    <col min="5" max="5" width="15" bestFit="1" customWidth="1"/>
    <col min="7" max="7" width="18.140625" bestFit="1" customWidth="1"/>
    <col min="8" max="8" width="20" bestFit="1" customWidth="1"/>
  </cols>
  <sheetData>
    <row r="1" spans="1:8" x14ac:dyDescent="0.25">
      <c r="A1" s="5" t="s">
        <v>0</v>
      </c>
      <c r="B1" s="4" t="s">
        <v>24</v>
      </c>
      <c r="C1" s="4"/>
      <c r="D1" s="5" t="s">
        <v>11</v>
      </c>
      <c r="E1" s="4" t="s">
        <v>24</v>
      </c>
      <c r="F1" s="4"/>
      <c r="G1" s="5" t="s">
        <v>11</v>
      </c>
    </row>
    <row r="2" spans="1:8" x14ac:dyDescent="0.25">
      <c r="A2" s="5"/>
      <c r="B2" s="1" t="s">
        <v>2</v>
      </c>
      <c r="C2" s="1" t="s">
        <v>3</v>
      </c>
      <c r="D2" s="5"/>
      <c r="E2" s="1" t="s">
        <v>2</v>
      </c>
      <c r="F2" s="1" t="s">
        <v>3</v>
      </c>
      <c r="G2" s="5"/>
      <c r="H2" s="1" t="s">
        <v>17</v>
      </c>
    </row>
    <row r="3" spans="1:8" x14ac:dyDescent="0.25">
      <c r="A3" t="s">
        <v>1</v>
      </c>
      <c r="B3">
        <v>0.46700000000000003</v>
      </c>
      <c r="C3">
        <v>0.36199999999999999</v>
      </c>
      <c r="D3" t="s">
        <v>16</v>
      </c>
      <c r="H3" t="s">
        <v>18</v>
      </c>
    </row>
    <row r="4" spans="1:8" x14ac:dyDescent="0.25">
      <c r="A4" t="s">
        <v>5</v>
      </c>
      <c r="B4">
        <v>0.26400000000000001</v>
      </c>
      <c r="C4">
        <v>0.36099999999999999</v>
      </c>
      <c r="D4" t="s">
        <v>13</v>
      </c>
      <c r="E4" s="2">
        <f>1/(1+EXP(1.1))</f>
        <v>0.24973989440488234</v>
      </c>
      <c r="F4" s="2">
        <f>1/(1+EXP(1.15))</f>
        <v>0.24048908305088898</v>
      </c>
      <c r="G4" t="s">
        <v>16</v>
      </c>
    </row>
    <row r="5" spans="1:8" x14ac:dyDescent="0.25">
      <c r="A5" t="s">
        <v>14</v>
      </c>
      <c r="B5">
        <v>0.45200000000000001</v>
      </c>
      <c r="C5">
        <v>0.156</v>
      </c>
      <c r="D5" t="s">
        <v>12</v>
      </c>
      <c r="E5" s="2">
        <f>1/(1+EXP(1.44))</f>
        <v>0.19154534856146752</v>
      </c>
      <c r="F5" s="2">
        <f>1/(1+EXP(0.296))</f>
        <v>0.4265356063867507</v>
      </c>
      <c r="G5" t="s">
        <v>16</v>
      </c>
    </row>
    <row r="6" spans="1:8" x14ac:dyDescent="0.25">
      <c r="A6" t="s">
        <v>4</v>
      </c>
      <c r="B6">
        <v>0.40100000000000002</v>
      </c>
      <c r="C6">
        <v>0.14899999999999999</v>
      </c>
      <c r="D6" t="s">
        <v>12</v>
      </c>
      <c r="E6" s="2"/>
      <c r="F6" s="2"/>
    </row>
    <row r="7" spans="1:8" x14ac:dyDescent="0.25">
      <c r="A7" t="s">
        <v>6</v>
      </c>
      <c r="B7">
        <v>0.502</v>
      </c>
      <c r="C7">
        <v>0.16200000000000001</v>
      </c>
      <c r="D7" t="s">
        <v>12</v>
      </c>
      <c r="E7" s="2"/>
      <c r="F7" s="2"/>
    </row>
    <row r="8" spans="1:8" x14ac:dyDescent="0.25">
      <c r="A8" t="s">
        <v>15</v>
      </c>
      <c r="B8">
        <v>0.45200000000000001</v>
      </c>
      <c r="C8">
        <v>0.156</v>
      </c>
      <c r="D8" t="s">
        <v>12</v>
      </c>
      <c r="E8" s="2">
        <f>1/(1+EXP(1.11))</f>
        <v>0.2478708885604298</v>
      </c>
      <c r="F8" s="2">
        <f>1/(1+EXP(0.135))</f>
        <v>0.46630116456709919</v>
      </c>
      <c r="G8" t="s">
        <v>16</v>
      </c>
    </row>
    <row r="9" spans="1:8" x14ac:dyDescent="0.25">
      <c r="A9" t="s">
        <v>7</v>
      </c>
      <c r="B9">
        <v>0.40100000000000002</v>
      </c>
      <c r="C9">
        <v>0.14899999999999999</v>
      </c>
      <c r="D9" t="s">
        <v>12</v>
      </c>
      <c r="E9" s="2"/>
      <c r="F9" s="2"/>
    </row>
    <row r="10" spans="1:8" x14ac:dyDescent="0.25">
      <c r="A10" t="s">
        <v>8</v>
      </c>
      <c r="B10">
        <v>0.502</v>
      </c>
      <c r="C10">
        <v>0.16200000000000001</v>
      </c>
      <c r="D10" t="s">
        <v>12</v>
      </c>
      <c r="E10" s="2"/>
      <c r="F10" s="2"/>
    </row>
    <row r="11" spans="1:8" x14ac:dyDescent="0.25">
      <c r="A11" t="s">
        <v>9</v>
      </c>
      <c r="B11">
        <v>0.58899999999999997</v>
      </c>
      <c r="C11">
        <v>0.25900000000000001</v>
      </c>
      <c r="D11" t="s">
        <v>13</v>
      </c>
      <c r="E11" s="2">
        <f>1/(1+EXP(0.92))</f>
        <v>0.28495789429901025</v>
      </c>
      <c r="F11" s="2">
        <f>1/(1+EXP(-0.212))</f>
        <v>0.55280238544469373</v>
      </c>
      <c r="G11" t="s">
        <v>16</v>
      </c>
    </row>
    <row r="12" spans="1:8" x14ac:dyDescent="0.25">
      <c r="A12" t="s">
        <v>10</v>
      </c>
      <c r="B12">
        <v>0.621</v>
      </c>
      <c r="C12">
        <v>0.56799999999999995</v>
      </c>
      <c r="D12" t="s">
        <v>13</v>
      </c>
    </row>
    <row r="13" spans="1:8" x14ac:dyDescent="0.25">
      <c r="A13" t="s">
        <v>19</v>
      </c>
      <c r="B13" s="3" t="s">
        <v>23</v>
      </c>
      <c r="C13" s="2">
        <f>1/(1+EXP(0.743))</f>
        <v>0.32234847500456443</v>
      </c>
      <c r="D13" t="s">
        <v>16</v>
      </c>
    </row>
    <row r="14" spans="1:8" x14ac:dyDescent="0.25">
      <c r="A14" t="s">
        <v>21</v>
      </c>
      <c r="B14" s="2">
        <f>1/(1+EXP(1.39))</f>
        <v>0.19940775684866852</v>
      </c>
      <c r="C14" s="3" t="s">
        <v>23</v>
      </c>
      <c r="D14" t="s">
        <v>16</v>
      </c>
    </row>
    <row r="15" spans="1:8" x14ac:dyDescent="0.25">
      <c r="A15" t="s">
        <v>22</v>
      </c>
      <c r="B15" s="2">
        <f>1/(1+EXP(0.594))</f>
        <v>0.35571759580020623</v>
      </c>
      <c r="C15" s="3" t="s">
        <v>23</v>
      </c>
      <c r="D15" t="s">
        <v>16</v>
      </c>
    </row>
    <row r="16" spans="1:8" x14ac:dyDescent="0.25">
      <c r="A16" t="s">
        <v>20</v>
      </c>
    </row>
  </sheetData>
  <mergeCells count="5">
    <mergeCell ref="B1:C1"/>
    <mergeCell ref="A1:A2"/>
    <mergeCell ref="D1:D2"/>
    <mergeCell ref="E1:F1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Christopher</dc:creator>
  <cp:lastModifiedBy>Johnson, Christopher</cp:lastModifiedBy>
  <dcterms:created xsi:type="dcterms:W3CDTF">2026-06-01T11:41:18Z</dcterms:created>
  <dcterms:modified xsi:type="dcterms:W3CDTF">2026-06-10T07:28:01Z</dcterms:modified>
</cp:coreProperties>
</file>